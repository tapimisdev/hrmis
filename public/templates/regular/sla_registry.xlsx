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OST\Downloads\"/>
    </mc:Choice>
  </mc:AlternateContent>
  <xr:revisionPtr revIDLastSave="0" documentId="13_ncr:1_{6453C31C-B499-4DEE-8AEB-FFE9DF1497C5}" xr6:coauthVersionLast="47" xr6:coauthVersionMax="47" xr10:uidLastSave="{00000000-0000-0000-0000-000000000000}"/>
  <bookViews>
    <workbookView xWindow="-108" yWindow="-108" windowWidth="23256" windowHeight="12456" xr2:uid="{D200BDBB-5787-4714-BD95-096C330AB107}"/>
  </bookViews>
  <sheets>
    <sheet name="SLA PAYROLL" sheetId="1" r:id="rId1"/>
  </sheets>
  <externalReferences>
    <externalReference r:id="rId2"/>
    <externalReference r:id="rId3"/>
  </externalReferences>
  <definedNames>
    <definedName name="Eligibilities">[1]Eligibilities!$A$1:$A$56</definedName>
    <definedName name="_xlnm.Print_Area" localSheetId="0">'SLA PAYROLL'!$A$1:$I$18</definedName>
    <definedName name="_xlnm.Print_Area">#REF!</definedName>
    <definedName name="PRINT_AREA_MI">#REF!</definedName>
    <definedName name="_xlnm.Print_Titles" localSheetId="0">'SLA PAYROLL'!$3:$3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C3" i="1"/>
</calcChain>
</file>

<file path=xl/sharedStrings.xml><?xml version="1.0" encoding="utf-8"?>
<sst xmlns="http://schemas.openxmlformats.org/spreadsheetml/2006/main" count="22" uniqueCount="22">
  <si>
    <t>Admin Officer V, HR Section</t>
  </si>
  <si>
    <t>PAA V, HR Section</t>
  </si>
  <si>
    <t>Checked by:</t>
  </si>
  <si>
    <t>Prepared by:</t>
  </si>
  <si>
    <t>Director, TAPI</t>
  </si>
  <si>
    <t>Chief AO, FAD</t>
  </si>
  <si>
    <t>MARION IVY D. DECENA</t>
  </si>
  <si>
    <t>JOYCEL N. AGUILAR</t>
  </si>
  <si>
    <r>
      <t xml:space="preserve">  </t>
    </r>
    <r>
      <rPr>
        <u/>
        <sz val="10"/>
        <rFont val="Arial"/>
        <family val="2"/>
      </rPr>
      <t xml:space="preserve">  2  </t>
    </r>
    <r>
      <rPr>
        <sz val="10"/>
        <rFont val="Arial"/>
        <family val="2"/>
      </rPr>
      <t xml:space="preserve"> pages only.</t>
    </r>
  </si>
  <si>
    <t>stated.</t>
  </si>
  <si>
    <t xml:space="preserve">  I further certify that this payroll consists of   </t>
  </si>
  <si>
    <t>correct and that the services have been duly rendered as</t>
  </si>
  <si>
    <t xml:space="preserve">  (2) APPROVED, payable for appropriation for 101</t>
  </si>
  <si>
    <t>(1) I CERTIFY on my official oath that the above Payroll is</t>
  </si>
  <si>
    <t>Net Amount</t>
  </si>
  <si>
    <t>Less: Health Card c/o TAPIEA</t>
  </si>
  <si>
    <t>Uniform Deduction</t>
  </si>
  <si>
    <r>
      <rPr>
        <b/>
        <sz val="10"/>
        <rFont val="Arial"/>
        <family val="2"/>
      </rPr>
      <t xml:space="preserve">Deduction
Late/UTs
</t>
    </r>
    <r>
      <rPr>
        <sz val="8"/>
        <rFont val="Arial"/>
        <family val="2"/>
      </rPr>
      <t xml:space="preserve">per </t>
    </r>
    <r>
      <rPr>
        <b/>
        <sz val="8"/>
        <rFont val="Arial"/>
        <family val="2"/>
      </rPr>
      <t>DOST AO No. 003</t>
    </r>
  </si>
  <si>
    <t>TOTAL SLA</t>
  </si>
  <si>
    <t>Laundry Allow. 
₱ 500</t>
  </si>
  <si>
    <t>NAME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</si>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</sst>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(* #,##0.00_);_(* \(#,##0.00\);_(* &quot;-&quot;_);_(@_)"/>
    <numFmt numFmtId="167" formatCode="_(* #,##0_);_(* \(#,##0\);_(* &quot;-&quot;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u/>
      <sz val="11"/>
      <name val="Calibri"/>
      <family val="2"/>
      <scheme val="minor"/>
    </font>
    <font>
      <b/>
      <u/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8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</cellStyleXfs>
  <cellXfs count="42">
    <xf numFmtId="0" fontId="0" fillId="0" borderId="0" xfId="0"/>
    <xf numFmtId="0" fontId="2" fillId="0" borderId="0" xfId="1"/>
    <xf numFmtId="165" fontId="0" fillId="0" borderId="0" xfId="2" applyNumberFormat="1" applyFont="1" applyAlignment="1">
      <alignment horizontal="left"/>
    </xf>
    <xf numFmtId="0" fontId="2" fillId="0" borderId="0" xfId="1" applyAlignment="1">
      <alignment horizontal="center" vertical="center"/>
    </xf>
    <xf numFmtId="0" fontId="3" fillId="0" borderId="0" xfId="1" applyFont="1"/>
    <xf numFmtId="0" fontId="4" fillId="0" borderId="0" xfId="1" applyFont="1"/>
    <xf numFmtId="0" fontId="5" fillId="0" borderId="0" xfId="3" applyFont="1"/>
    <xf numFmtId="165" fontId="3" fillId="0" borderId="1" xfId="2" applyNumberFormat="1" applyFont="1" applyBorder="1" applyAlignment="1">
      <alignment horizontal="left"/>
    </xf>
    <xf numFmtId="0" fontId="6" fillId="0" borderId="0" xfId="3" applyFont="1"/>
    <xf numFmtId="0" fontId="7" fillId="0" borderId="0" xfId="1" applyFont="1"/>
    <xf numFmtId="165" fontId="3" fillId="0" borderId="0" xfId="2" applyNumberFormat="1" applyFont="1" applyAlignment="1">
      <alignment horizontal="left"/>
    </xf>
    <xf numFmtId="0" fontId="8" fillId="0" borderId="0" xfId="1" applyFont="1"/>
    <xf numFmtId="0" fontId="2" fillId="0" borderId="0" xfId="1" applyAlignment="1">
      <alignment horizontal="center"/>
    </xf>
    <xf numFmtId="0" fontId="9" fillId="0" borderId="0" xfId="4" applyFont="1" applyAlignment="1">
      <alignment horizontal="center"/>
    </xf>
    <xf numFmtId="0" fontId="10" fillId="0" borderId="0" xfId="1" applyFont="1" applyAlignment="1">
      <alignment horizontal="center"/>
    </xf>
    <xf numFmtId="164" fontId="2" fillId="0" borderId="0" xfId="1" applyNumberFormat="1"/>
    <xf numFmtId="166" fontId="12" fillId="0" borderId="0" xfId="2" applyNumberFormat="1" applyFont="1" applyBorder="1" applyAlignment="1">
      <alignment horizontal="center" wrapText="1"/>
    </xf>
    <xf numFmtId="0" fontId="7" fillId="0" borderId="0" xfId="1" applyFont="1" applyAlignment="1">
      <alignment horizontal="center" wrapText="1"/>
    </xf>
    <xf numFmtId="0" fontId="2" fillId="0" borderId="0" xfId="1" applyAlignment="1">
      <alignment horizontal="center" vertical="center" wrapText="1"/>
    </xf>
    <xf numFmtId="164" fontId="2" fillId="0" borderId="2" xfId="1" applyNumberFormat="1" applyBorder="1" applyAlignment="1">
      <alignment horizontal="center" vertical="center" wrapText="1"/>
    </xf>
    <xf numFmtId="164" fontId="0" fillId="0" borderId="3" xfId="2" applyFont="1" applyBorder="1" applyAlignment="1">
      <alignment horizontal="center" vertical="center" wrapText="1"/>
    </xf>
    <xf numFmtId="0" fontId="2" fillId="0" borderId="5" xfId="1" applyBorder="1" applyAlignment="1">
      <alignment horizontal="center" vertical="center" wrapText="1"/>
    </xf>
    <xf numFmtId="164" fontId="2" fillId="0" borderId="6" xfId="1" applyNumberFormat="1" applyBorder="1" applyAlignment="1">
      <alignment horizontal="center" vertical="center" wrapText="1"/>
    </xf>
    <xf numFmtId="164" fontId="0" fillId="0" borderId="0" xfId="2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167" fontId="2" fillId="0" borderId="0" xfId="1" applyNumberFormat="1"/>
    <xf numFmtId="164" fontId="2" fillId="0" borderId="7" xfId="1" applyNumberFormat="1" applyBorder="1" applyAlignment="1">
      <alignment horizontal="center" vertical="center" wrapText="1"/>
    </xf>
    <xf numFmtId="164" fontId="2" fillId="0" borderId="4" xfId="1" applyNumberFormat="1" applyBorder="1" applyAlignment="1">
      <alignment horizontal="center" vertical="center" wrapText="1"/>
    </xf>
    <xf numFmtId="0" fontId="14" fillId="0" borderId="0" xfId="3" applyFont="1" applyAlignment="1">
      <alignment vertical="center" wrapText="1"/>
    </xf>
    <xf numFmtId="0" fontId="13" fillId="0" borderId="0" xfId="1" applyFont="1"/>
    <xf numFmtId="14" fontId="2" fillId="0" borderId="0" xfId="1" applyNumberFormat="1"/>
    <xf numFmtId="0" fontId="2" fillId="0" borderId="0" xfId="1" applyAlignment="1">
      <alignment horizontal="left" vertical="center"/>
    </xf>
    <xf numFmtId="9" fontId="12" fillId="0" borderId="8" xfId="1" applyNumberFormat="1" applyFont="1" applyBorder="1" applyAlignment="1">
      <alignment horizontal="center" vertical="center" wrapText="1"/>
    </xf>
    <xf numFmtId="9" fontId="8" fillId="0" borderId="9" xfId="1" applyNumberFormat="1" applyFont="1" applyBorder="1" applyAlignment="1">
      <alignment horizontal="center" vertical="center" wrapText="1"/>
    </xf>
    <xf numFmtId="9" fontId="12" fillId="2" borderId="9" xfId="1" applyNumberFormat="1" applyFont="1" applyFill="1" applyBorder="1" applyAlignment="1">
      <alignment horizontal="center" vertical="center" wrapText="1"/>
    </xf>
    <xf numFmtId="9" fontId="7" fillId="0" borderId="9" xfId="1" applyNumberFormat="1" applyFont="1" applyBorder="1" applyAlignment="1">
      <alignment horizontal="center" vertical="center" wrapText="1"/>
    </xf>
    <xf numFmtId="9" fontId="7" fillId="0" borderId="10" xfId="1" applyNumberFormat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6" fillId="0" borderId="0" xfId="3" applyFont="1" applyAlignment="1">
      <alignment horizontal="left"/>
    </xf>
    <xf numFmtId="0" fontId="12" fillId="0" borderId="0" xfId="1" applyFont="1" applyAlignment="1">
      <alignment horizontal="center" wrapText="1"/>
    </xf>
    <xf numFmtId="0" fontId="12" fillId="0" borderId="0" xfId="1" applyFont="1" applyAlignment="1">
      <alignment horizontal="center"/>
    </xf>
  </cellXfs>
  <cellStyles count="8">
    <cellStyle name="Comma 12" xfId="5" xr:uid="{D780E8EB-8163-4B19-B048-957B2F3895A3}"/>
    <cellStyle name="Comma 2 2 2" xfId="2" xr:uid="{9A1EFF7A-45D0-46F3-9237-100FF05A199E}"/>
    <cellStyle name="Normal" xfId="0" builtinId="0"/>
    <cellStyle name="Normal 2 2" xfId="1" xr:uid="{F14C83A6-4D2D-42F7-AE12-82636D70A1C6}"/>
    <cellStyle name="Normal 4 2 2 2 2 2" xfId="6" xr:uid="{A3A6140F-2CF7-4370-80F8-6B34ECEF9D56}"/>
    <cellStyle name="Normal 5 2 2 2 2 6" xfId="4" xr:uid="{3138F6DB-E5EF-45C4-87FC-CE830278A075}"/>
    <cellStyle name="Normal 5 2 2 3 6" xfId="7" xr:uid="{4CCFD293-950E-46DA-9D48-B34637F09636}"/>
    <cellStyle name="Normal 52" xfId="3" xr:uid="{E06149D7-25BD-4090-9639-6524A11C9D9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wnloads\MASTERLIST-OF-TAPI-EMPLOYEES-2021%20(UPDATED)%20(1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LACY%20BACKUP%20FILES%20OCT%2011,%202023\Desktop\PAYROLL\PAYROLL%20PERMANENT\2023\DEC\2023-DECEMBER-PERMANENT-PAYROLL.xlsm" TargetMode="External"/><Relationship Id="rId1" Type="http://schemas.openxmlformats.org/officeDocument/2006/relationships/externalLinkPath" Target="file:///D:\GLACY%20BACKUP%20FILES%20OCT%2011,%202023\Desktop\PAYROLL\PAYROLL%20PERMANENT\2023\DEC\2023-DECEMBER-PERMANENT-PAYROL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yalty2021 "/>
      <sheetName val="DOST S&amp;T PERSONNEL"/>
      <sheetName val="Performance Indicators 2021"/>
      <sheetName val="AUGUST 2020"/>
      <sheetName val="Sheet1"/>
      <sheetName val="Proj. Staff as of JUNE 30, 2021"/>
      <sheetName val="RESIGNED 2021 UPDATED"/>
      <sheetName val="New Hired Proj. Staff Req. (2)"/>
      <sheetName val="RESIGNED 2021"/>
      <sheetName val="Proj. Staff 31 DEC 2021"/>
      <sheetName val="Plantilla (PERM.) 2021"/>
      <sheetName val="New Hired Proj. Staff Req."/>
      <sheetName val="SALN CERT 2020"/>
      <sheetName val="SG TABLE"/>
      <sheetName val="Plantilla (PERM.) 2021 (2)"/>
      <sheetName val="PERFORMANCE INDICATORS 2020"/>
      <sheetName val="Plantilla2020 (2)"/>
      <sheetName val="Plantilla2020"/>
      <sheetName val="IPCR 2020"/>
      <sheetName val="SALN 2020"/>
      <sheetName val="RESIGNED (2)"/>
      <sheetName val="Plantilla2019"/>
      <sheetName val="ActiveEmployees2019"/>
      <sheetName val="Plantilla2018"/>
      <sheetName val="Eligibilities"/>
      <sheetName val="PERMANENT"/>
      <sheetName val="PROJECT STA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8">
          <cell r="B38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CS Professional Eligibility</v>
          </cell>
        </row>
        <row r="2">
          <cell r="A2" t="str">
            <v>CS Sub-Professional Eligibility</v>
          </cell>
        </row>
        <row r="3">
          <cell r="A3" t="str">
            <v xml:space="preserve">Professional Board Exam for Teachers </v>
          </cell>
        </row>
        <row r="4">
          <cell r="A4" t="str">
            <v>Police Officer Examination</v>
          </cell>
        </row>
        <row r="5">
          <cell r="A5" t="str">
            <v>Foreign Trade Service Officer Exam</v>
          </cell>
        </row>
        <row r="6">
          <cell r="A6" t="str">
            <v>Teacher Examination</v>
          </cell>
        </row>
        <row r="7">
          <cell r="A7" t="str">
            <v>First Grade Examination</v>
          </cell>
        </row>
        <row r="8">
          <cell r="A8" t="str">
            <v xml:space="preserve">Second Grade Examination  </v>
          </cell>
        </row>
        <row r="9">
          <cell r="A9" t="str">
            <v xml:space="preserve">Third Grade Examination     </v>
          </cell>
        </row>
        <row r="10">
          <cell r="A10" t="str">
            <v>Senior Teacher Examination</v>
          </cell>
        </row>
        <row r="11">
          <cell r="A11" t="str">
            <v xml:space="preserve">Junior Teacher Examination  </v>
          </cell>
        </row>
        <row r="12">
          <cell r="A12" t="str">
            <v>Agricultural Officer Examination</v>
          </cell>
        </row>
        <row r="13">
          <cell r="A13" t="str">
            <v>Agriculture Extension Officer Exam</v>
          </cell>
        </row>
        <row r="14">
          <cell r="A14" t="str">
            <v>Agronomist Examination</v>
          </cell>
        </row>
        <row r="15">
          <cell r="A15" t="str">
            <v>Fishery Biologist Examination</v>
          </cell>
        </row>
        <row r="16">
          <cell r="A16" t="str">
            <v>Fishery Technologist Examination</v>
          </cell>
        </row>
        <row r="17">
          <cell r="A17" t="str">
            <v xml:space="preserve">Fishery Officer Examination </v>
          </cell>
        </row>
        <row r="18">
          <cell r="A18" t="str">
            <v>Forestry Technician Examination</v>
          </cell>
        </row>
        <row r="19">
          <cell r="A19" t="str">
            <v>Farm Management Technician Exam</v>
          </cell>
        </row>
        <row r="20">
          <cell r="A20" t="str">
            <v>Real Property Assessing Officer Exam</v>
          </cell>
        </row>
        <row r="21">
          <cell r="A21" t="str">
            <v xml:space="preserve">Superintendent Examination </v>
          </cell>
        </row>
        <row r="22">
          <cell r="A22" t="str">
            <v xml:space="preserve">Soil Technologist Examination </v>
          </cell>
        </row>
        <row r="23">
          <cell r="A23" t="str">
            <v>Sanitarian Examination</v>
          </cell>
        </row>
        <row r="24">
          <cell r="A24" t="str">
            <v>Meat Inspector Examination</v>
          </cell>
        </row>
        <row r="25">
          <cell r="A25" t="str">
            <v xml:space="preserve">Home Economics Extension Officer Exam </v>
          </cell>
        </row>
        <row r="26">
          <cell r="A26" t="str">
            <v>Municipal Treasurer Examination</v>
          </cell>
        </row>
        <row r="27">
          <cell r="A27" t="str">
            <v>Local Treasury Officer Examination</v>
          </cell>
        </row>
        <row r="28">
          <cell r="A28" t="str">
            <v xml:space="preserve">Management Analyst Examination </v>
          </cell>
        </row>
        <row r="29">
          <cell r="A29" t="str">
            <v>Supervising Customs Appraiser Exam</v>
          </cell>
        </row>
        <row r="30">
          <cell r="A30" t="str">
            <v>Custom Examiner Ent. Examination</v>
          </cell>
        </row>
        <row r="31">
          <cell r="A31" t="str">
            <v>Food Technician Examination</v>
          </cell>
        </row>
        <row r="32">
          <cell r="A32" t="str">
            <v>Statistical Aide Examination</v>
          </cell>
        </row>
        <row r="33">
          <cell r="A33" t="str">
            <v xml:space="preserve">Statistician Examination </v>
          </cell>
        </row>
        <row r="34">
          <cell r="A34" t="str">
            <v xml:space="preserve">Auditor Examination  </v>
          </cell>
        </row>
        <row r="35">
          <cell r="A35" t="str">
            <v>Postmaster Examination</v>
          </cell>
        </row>
        <row r="36">
          <cell r="A36" t="str">
            <v xml:space="preserve">Money Counter Examination </v>
          </cell>
        </row>
        <row r="37">
          <cell r="A37" t="str">
            <v>Manpower Development Officer Exam</v>
          </cell>
        </row>
        <row r="38">
          <cell r="A38" t="str">
            <v xml:space="preserve">Career Service Executive Examination  </v>
          </cell>
        </row>
        <row r="39">
          <cell r="A39" t="str">
            <v xml:space="preserve">Foreign Service Officer Examination </v>
          </cell>
        </row>
        <row r="40">
          <cell r="A40" t="str">
            <v>Police Officer I Entrance Examination</v>
          </cell>
        </row>
        <row r="41">
          <cell r="A41" t="str">
            <v>Penology Officer Examination</v>
          </cell>
        </row>
        <row r="42">
          <cell r="A42" t="str">
            <v xml:space="preserve">Penology Employee Examination </v>
          </cell>
        </row>
        <row r="43">
          <cell r="A43" t="str">
            <v>Certified Public Accountant</v>
          </cell>
        </row>
        <row r="44">
          <cell r="A44" t="str">
            <v>REPUBLIC ACT NO. 1080</v>
          </cell>
        </row>
        <row r="45">
          <cell r="A45" t="str">
            <v>Licensure Examination for Teachers</v>
          </cell>
        </row>
        <row r="46">
          <cell r="A46" t="str">
            <v>NAPOLCOM Entrance Examination</v>
          </cell>
        </row>
        <row r="47">
          <cell r="A47" t="str">
            <v>Barangay Official Eligibility</v>
          </cell>
        </row>
        <row r="48">
          <cell r="A48" t="str">
            <v>Career Executive Service Officer</v>
          </cell>
        </row>
        <row r="49">
          <cell r="A49" t="str">
            <v>Career Executive Service Eligibility</v>
          </cell>
        </row>
        <row r="50">
          <cell r="A50" t="str">
            <v>RA 6850</v>
          </cell>
        </row>
        <row r="51">
          <cell r="A51" t="str">
            <v>Cultural Community Employee</v>
          </cell>
        </row>
        <row r="52">
          <cell r="A52" t="str">
            <v>Cultural Community Officer</v>
          </cell>
        </row>
        <row r="53">
          <cell r="A53" t="str">
            <v>PD 907</v>
          </cell>
        </row>
        <row r="54">
          <cell r="A54" t="str">
            <v>RA 4670</v>
          </cell>
        </row>
        <row r="55">
          <cell r="A55" t="str">
            <v>PD 997</v>
          </cell>
        </row>
        <row r="56">
          <cell r="A56" t="str">
            <v>PD 1408</v>
          </cell>
        </row>
      </sheetData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AAA"/>
      <sheetName val="0000"/>
      <sheetName val="pldt"/>
      <sheetName val="DV (CNA,PEI)"/>
      <sheetName val="DV CLOTHING ALLOW."/>
      <sheetName val="DV GSIS INSURANCE"/>
      <sheetName val="Action Slip"/>
      <sheetName val="DV BONUS"/>
      <sheetName val="DV MID YEAR BONUS"/>
      <sheetName val="DV HONORARIUM"/>
      <sheetName val="DV PBB"/>
      <sheetName val="DV SALARY"/>
      <sheetName val="DV (HP - SLA)"/>
      <sheetName val="DV (CLOTHING ALL.)"/>
      <sheetName val="DV (PERA-RATA - LP)"/>
      <sheetName val="YEAR-END BONUS"/>
      <sheetName val="CNA2023"/>
      <sheetName val="PEI 2023"/>
      <sheetName val="Pay Slip"/>
      <sheetName val="PAYROLL PERMANENT"/>
      <sheetName val="PERA-RATA"/>
      <sheetName val="Longevity (LP) (3)"/>
      <sheetName val="Longe-tax"/>
      <sheetName val="CLOTHING ALLOWANCE."/>
      <sheetName val="BONUS AND CASHGIFT"/>
      <sheetName val="MID YEAR BONUS"/>
      <sheetName val="Tax-Salary"/>
      <sheetName val="Tax-Salary (2)"/>
      <sheetName val="DV (CLOTHING ALL.) (2)"/>
      <sheetName val="CLOTHING ALLOW."/>
      <sheetName val="PEI"/>
      <sheetName val="CNA"/>
      <sheetName val="MID-YEAR BONUS"/>
      <sheetName val="HP Tax (2)"/>
      <sheetName val="Hazard Pay (HP)"/>
      <sheetName val="HP Tax"/>
      <sheetName val="HP Tax (3)"/>
      <sheetName val="ACTUAL PRESENCE HP SLA "/>
      <sheetName val="SLA PAYROLL"/>
      <sheetName val="SLAdeduction LATES-UTs"/>
      <sheetName val="FOOD DEDUCTIONS (1)"/>
      <sheetName val="FOOD DEDUCTIONS"/>
      <sheetName val="Health Card (TAPIEA)"/>
      <sheetName val="Loan Reminders"/>
      <sheetName val="Philippines 2022 Holidays"/>
      <sheetName val="Hazard Pay Dec"/>
      <sheetName val="HP Tax (4)"/>
      <sheetName val="ACTUAL PRESENCE DEC"/>
      <sheetName val="SLA PAYROLL DEC"/>
      <sheetName val="SLA Deductions Lates-UTs"/>
      <sheetName val="DV HP SLA -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B7" t="str">
            <v>DECENA, MARION IVY D.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5">
          <cell r="D15">
            <v>24000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37">
          <cell r="D37">
            <v>12</v>
          </cell>
        </row>
      </sheetData>
      <sheetData sheetId="38"/>
      <sheetData sheetId="39"/>
      <sheetData sheetId="40"/>
      <sheetData sheetId="41"/>
      <sheetData sheetId="42">
        <row r="4">
          <cell r="F4">
            <v>0</v>
          </cell>
        </row>
      </sheetData>
      <sheetData sheetId="43"/>
      <sheetData sheetId="44">
        <row r="3">
          <cell r="A3">
            <v>44927</v>
          </cell>
        </row>
        <row r="4">
          <cell r="A4">
            <v>44981</v>
          </cell>
        </row>
        <row r="5">
          <cell r="A5">
            <v>45022</v>
          </cell>
        </row>
        <row r="6">
          <cell r="A6">
            <v>45023</v>
          </cell>
        </row>
        <row r="7">
          <cell r="A7">
            <v>45024</v>
          </cell>
        </row>
        <row r="8">
          <cell r="A8">
            <v>45025</v>
          </cell>
        </row>
        <row r="9">
          <cell r="A9">
            <v>45026</v>
          </cell>
        </row>
        <row r="10">
          <cell r="A10">
            <v>45037</v>
          </cell>
        </row>
        <row r="11">
          <cell r="A11">
            <v>45047</v>
          </cell>
        </row>
        <row r="12">
          <cell r="A12">
            <v>45089</v>
          </cell>
        </row>
        <row r="13">
          <cell r="A13">
            <v>45105</v>
          </cell>
        </row>
        <row r="14">
          <cell r="A14">
            <v>45159</v>
          </cell>
        </row>
        <row r="15">
          <cell r="A15">
            <v>45166</v>
          </cell>
        </row>
        <row r="16">
          <cell r="A16">
            <v>45231</v>
          </cell>
        </row>
        <row r="17">
          <cell r="A17">
            <v>45232</v>
          </cell>
        </row>
        <row r="18">
          <cell r="A18">
            <v>45260</v>
          </cell>
        </row>
        <row r="19">
          <cell r="A19">
            <v>45268</v>
          </cell>
        </row>
        <row r="20">
          <cell r="A20">
            <v>45285</v>
          </cell>
        </row>
        <row r="21">
          <cell r="A21">
            <v>45290</v>
          </cell>
        </row>
        <row r="22">
          <cell r="A22">
            <v>45291</v>
          </cell>
        </row>
        <row r="23">
          <cell r="A23"/>
        </row>
      </sheetData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A823-9ED2-4629-B881-44AC1063DB0E}">
  <sheetPr>
    <tabColor rgb="FF009900"/>
    <pageSetUpPr fitToPage="1"/>
  </sheetPr>
  <dimension ref="A1:Q19"/>
  <sheetViews>
    <sheetView tabSelected="1" view="pageBreakPreview" zoomScale="90" zoomScaleNormal="100" zoomScaleSheetLayoutView="90" workbookViewId="0">
      <selection activeCell="K13" sqref="K13"/>
    </sheetView>
  </sheetViews>
  <sheetFormatPr defaultColWidth="9.109375" defaultRowHeight="14.4" x14ac:dyDescent="0.3"/>
  <cols>
    <col min="1" max="1" width="4.5546875" style="3" customWidth="1"/>
    <col min="2" max="2" width="31.109375" style="1" customWidth="1"/>
    <col min="3" max="5" width="12" style="1" customWidth="1"/>
    <col min="6" max="7" width="11.6640625" style="1" customWidth="1"/>
    <col min="8" max="8" width="10.109375" style="1" customWidth="1"/>
    <col min="9" max="9" width="16.44140625" style="1" customWidth="1"/>
    <col min="10" max="10" width="6.88671875" style="1" customWidth="1"/>
    <col min="11" max="11" width="7.44140625" style="1" customWidth="1"/>
    <col min="12" max="12" width="5.33203125" style="2" customWidth="1"/>
    <col min="13" max="13" width="22.6640625" style="1" customWidth="1"/>
    <col min="14" max="14" width="10.33203125" style="1" customWidth="1"/>
    <col min="15" max="15" width="6.33203125" style="1" customWidth="1"/>
    <col min="16" max="18" width="9.109375" style="1"/>
    <col min="19" max="19" width="10.88671875" style="1" customWidth="1"/>
    <col min="20" max="20" width="7" style="1" customWidth="1"/>
    <col min="21" max="21" width="10.88671875" style="1" customWidth="1"/>
    <col min="22" max="16384" width="9.109375" style="1"/>
  </cols>
  <sheetData>
    <row r="1" spans="1:17" ht="19.8" customHeight="1" x14ac:dyDescent="0.3">
      <c r="A1" s="40" t="str">
        <f>"TECHNOLOGY APPLICATION AND PROMOTION INSTITUTE"</f>
        <v>TECHNOLOGY APPLICATION AND PROMOTION INSTITUTE</v>
      </c>
      <c r="B1" s="41"/>
      <c r="C1" s="41"/>
      <c r="D1" s="41"/>
      <c r="E1" s="41"/>
      <c r="F1" s="41"/>
      <c r="G1" s="41"/>
      <c r="H1" s="41"/>
      <c r="I1" s="41"/>
      <c r="M1" s="30"/>
    </row>
    <row r="2" spans="1:17" ht="18.75" customHeight="1" thickBot="1" x14ac:dyDescent="0.35">
      <c r="A2" s="38"/>
      <c r="B2" s="38"/>
      <c r="C2" s="38"/>
      <c r="D2" s="38"/>
      <c r="E2" s="38"/>
      <c r="F2" s="38"/>
      <c r="G2" s="38"/>
      <c r="H2" s="38"/>
      <c r="I2" s="38"/>
      <c r="M2" s="30"/>
    </row>
    <row r="3" spans="1:17" ht="81" customHeight="1" thickBot="1" x14ac:dyDescent="0.35">
      <c r="A3" s="37" t="s">
        <v>21</v>
      </c>
      <c r="B3" s="37" t="s">
        <v>20</v>
      </c>
      <c r="C3" s="36" t="str">
        <f>"Subsistence Allowance
("&amp;NETWORKDAYS(AB2,EOMONTH(AB2,0),'[2]Philippines 2022 Holidays'!$A$3:$A$23)&amp;" Days)"</f>
        <v>Subsistence Allowance
(22 Days)</v>
      </c>
      <c r="D3" s="35" t="s">
        <v>19</v>
      </c>
      <c r="E3" s="35" t="s">
        <v>18</v>
      </c>
      <c r="F3" s="34" t="s">
        <v>17</v>
      </c>
      <c r="G3" s="34" t="s">
        <v>16</v>
      </c>
      <c r="H3" s="33" t="s">
        <v>15</v>
      </c>
      <c r="I3" s="32" t="s">
        <v>14</v>
      </c>
      <c r="J3" s="31"/>
      <c r="K3" s="12"/>
      <c r="Q3" s="30"/>
    </row>
    <row r="4" spans="1:17" ht="20.100000000000001" customHeight="1" x14ac:dyDescent="0.3">
      <c r="A4" s="21"/>
      <c r="B4" s="24"/>
      <c r="C4" s="27"/>
      <c r="D4" s="20"/>
      <c r="E4" s="20"/>
      <c r="F4" s="19"/>
      <c r="G4" s="26"/>
      <c r="H4" s="23"/>
      <c r="I4" s="22"/>
      <c r="J4" s="29"/>
      <c r="K4" s="25"/>
      <c r="N4" s="28"/>
    </row>
    <row r="5" spans="1:17" ht="10.5" customHeight="1" x14ac:dyDescent="0.3">
      <c r="A5" s="18"/>
      <c r="B5" s="17"/>
      <c r="C5" s="16"/>
      <c r="D5" s="16"/>
      <c r="E5" s="16"/>
      <c r="F5" s="16"/>
      <c r="G5" s="16"/>
      <c r="H5" s="16"/>
      <c r="I5" s="16"/>
    </row>
    <row r="6" spans="1:17" x14ac:dyDescent="0.3">
      <c r="A6" s="1" t="s">
        <v>13</v>
      </c>
      <c r="F6" s="1" t="s">
        <v>12</v>
      </c>
      <c r="J6" s="15"/>
    </row>
    <row r="7" spans="1:17" x14ac:dyDescent="0.3">
      <c r="A7" s="1" t="s">
        <v>11</v>
      </c>
      <c r="F7" s="1" t="s">
        <v>10</v>
      </c>
    </row>
    <row r="8" spans="1:17" x14ac:dyDescent="0.3">
      <c r="A8" s="1" t="s">
        <v>9</v>
      </c>
      <c r="F8" s="1" t="s">
        <v>8</v>
      </c>
    </row>
    <row r="11" spans="1:17" x14ac:dyDescent="0.3">
      <c r="B11" s="14" t="s">
        <v>7</v>
      </c>
      <c r="F11" s="13"/>
      <c r="G11" s="13" t="s">
        <v>6</v>
      </c>
      <c r="H11" s="13"/>
      <c r="I11" s="13"/>
      <c r="L11" s="1"/>
      <c r="N11" s="13"/>
    </row>
    <row r="12" spans="1:17" ht="13.2" x14ac:dyDescent="0.25">
      <c r="B12" s="12" t="s">
        <v>5</v>
      </c>
      <c r="F12" s="12"/>
      <c r="G12" s="12" t="s">
        <v>4</v>
      </c>
      <c r="H12" s="12"/>
      <c r="I12" s="12"/>
      <c r="L12" s="1"/>
      <c r="N12" s="12"/>
    </row>
    <row r="14" spans="1:17" s="4" customFormat="1" ht="12" customHeight="1" x14ac:dyDescent="0.2">
      <c r="A14" s="6" t="s">
        <v>3</v>
      </c>
      <c r="B14" s="5"/>
      <c r="D14" s="6" t="s">
        <v>2</v>
      </c>
      <c r="E14" s="6"/>
      <c r="H14" s="6"/>
      <c r="L14" s="10"/>
    </row>
    <row r="15" spans="1:17" s="4" customFormat="1" ht="11.4" x14ac:dyDescent="0.2">
      <c r="A15" s="6"/>
      <c r="B15" s="5"/>
      <c r="D15" s="6"/>
      <c r="E15" s="6"/>
      <c r="H15" s="6"/>
      <c r="L15" s="10"/>
    </row>
    <row r="16" spans="1:17" s="4" customFormat="1" ht="11.4" x14ac:dyDescent="0.2">
      <c r="A16" s="6"/>
      <c r="B16" s="5"/>
      <c r="D16" s="6"/>
      <c r="E16" s="6"/>
      <c r="F16" s="11"/>
      <c r="G16" s="11"/>
      <c r="H16" s="6"/>
      <c r="L16" s="10"/>
    </row>
    <row r="17" spans="1:12" s="4" customFormat="1" ht="13.2" x14ac:dyDescent="0.25">
      <c r="A17" s="39"/>
      <c r="B17" s="39"/>
      <c r="D17" s="39"/>
      <c r="E17" s="39"/>
      <c r="F17" s="39"/>
      <c r="G17" s="9"/>
      <c r="H17" s="8"/>
      <c r="L17" s="7"/>
    </row>
    <row r="18" spans="1:12" x14ac:dyDescent="0.3">
      <c r="A18" s="6" t="s">
        <v>1</v>
      </c>
      <c r="D18" s="6" t="s">
        <v>0</v>
      </c>
      <c r="E18" s="6"/>
      <c r="F18" s="4"/>
      <c r="G18" s="4"/>
      <c r="H18" s="6"/>
    </row>
    <row r="19" spans="1:12" x14ac:dyDescent="0.3">
      <c r="D19" s="5"/>
      <c r="E19" s="5"/>
      <c r="F19" s="4"/>
      <c r="G19" s="4"/>
    </row>
  </sheetData>
  <mergeCells count="4">
    <mergeCell ref="A2:I2"/>
    <mergeCell ref="A17:B17"/>
    <mergeCell ref="D17:F17"/>
    <mergeCell ref="A1:I1"/>
  </mergeCells>
  <conditionalFormatting sqref="G11:H12">
    <cfRule type="cellIs" dxfId="3" priority="1" operator="lessThan">
      <formula>0</formula>
    </cfRule>
  </conditionalFormatting>
  <conditionalFormatting sqref="I1">
    <cfRule type="cellIs" dxfId="2" priority="6" operator="lessThan">
      <formula>0</formula>
    </cfRule>
  </conditionalFormatting>
  <conditionalFormatting sqref="I3:I5 C4 F4:G4 H6:H8">
    <cfRule type="cellIs" dxfId="1" priority="4" operator="lessThan">
      <formula>0</formula>
    </cfRule>
  </conditionalFormatting>
  <conditionalFormatting sqref="I9:I10 I13:I1048576">
    <cfRule type="cellIs" dxfId="0" priority="5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136" scale="44" fitToHeight="0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SLA PAYROLL</vt:lpstr>
      <vt:lpstr>'SLA PAYROLL'!Print_Area</vt:lpstr>
      <vt:lpstr>'SLA PAYROLL'!Print_Titles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mym1s.accnt7@gmail.com</dc:creator>
  <cp:lastModifiedBy>mym1s.accnt7@gmail.com</cp:lastModifiedBy>
  <dcterms:created xsi:type="dcterms:W3CDTF">2026-03-24T01:21:39Z</dcterms:created>
  <dcterms:modified xsi:type="dcterms:W3CDTF">2026-03-25T00:21:14Z</dcterms:modified>
</cp:coreProperties>
</file>